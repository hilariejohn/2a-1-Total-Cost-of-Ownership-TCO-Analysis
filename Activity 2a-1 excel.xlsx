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arie\Documents\KAPLAN\Bridging screenshot ib 3\"/>
    </mc:Choice>
  </mc:AlternateContent>
  <xr:revisionPtr revIDLastSave="0" documentId="8_{D9361141-9F6A-4770-9B99-4F61B407D85D}" xr6:coauthVersionLast="47" xr6:coauthVersionMax="47" xr10:uidLastSave="{00000000-0000-0000-0000-000000000000}"/>
  <bookViews>
    <workbookView xWindow="-108" yWindow="-108" windowWidth="23256" windowHeight="12456" xr2:uid="{0E935643-C90C-444D-AED7-2B5AF7833B0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H18" i="1"/>
  <c r="H17" i="1"/>
  <c r="H16" i="1"/>
  <c r="H15" i="1"/>
  <c r="H13" i="1"/>
  <c r="E16" i="1"/>
  <c r="H14" i="1"/>
  <c r="G14" i="1"/>
  <c r="F14" i="1"/>
  <c r="G13" i="1"/>
  <c r="F13" i="1"/>
  <c r="H12" i="1"/>
  <c r="G12" i="1"/>
  <c r="H11" i="1"/>
  <c r="E14" i="1"/>
  <c r="D14" i="1"/>
  <c r="C14" i="1"/>
  <c r="E13" i="1"/>
  <c r="D13" i="1"/>
  <c r="C13" i="1"/>
  <c r="E12" i="1"/>
  <c r="D12" i="1"/>
  <c r="B4" i="1"/>
  <c r="E15" i="1"/>
  <c r="E17" i="1" s="1"/>
  <c r="E18" i="1" s="1"/>
</calcChain>
</file>

<file path=xl/sharedStrings.xml><?xml version="1.0" encoding="utf-8"?>
<sst xmlns="http://schemas.openxmlformats.org/spreadsheetml/2006/main" count="36" uniqueCount="34">
  <si>
    <t>Years</t>
  </si>
  <si>
    <t>Weeks</t>
  </si>
  <si>
    <t>Pages / week</t>
  </si>
  <si>
    <t>$</t>
  </si>
  <si>
    <t>Pages</t>
  </si>
  <si>
    <t>$ per kWh</t>
  </si>
  <si>
    <t>Hours / week</t>
  </si>
  <si>
    <t>Analysis Period</t>
  </si>
  <si>
    <t>Weeks per Year</t>
  </si>
  <si>
    <t>Weekly Print Volume</t>
  </si>
  <si>
    <t>Total Lifetime Pages</t>
  </si>
  <si>
    <t>Paper Cost per Ream</t>
  </si>
  <si>
    <t>Pages per Ream</t>
  </si>
  <si>
    <t>Electricity Rate</t>
  </si>
  <si>
    <t>Weekly Power On</t>
  </si>
  <si>
    <t>Total Pages</t>
  </si>
  <si>
    <t>Item Description</t>
  </si>
  <si>
    <t>Type (Fixed/Variable)</t>
  </si>
  <si>
    <t>P1 Unit Price ($)</t>
  </si>
  <si>
    <t>P1 Units Consumed</t>
  </si>
  <si>
    <t>P1 Total Cost ($)</t>
  </si>
  <si>
    <t>P2 Unit Price ($)</t>
  </si>
  <si>
    <t>P2 Units Consumed</t>
  </si>
  <si>
    <t>P2 Total Cost ($)</t>
  </si>
  <si>
    <t>Printer Hardware Purchase</t>
  </si>
  <si>
    <t>Fixed</t>
  </si>
  <si>
    <t>Ink / Toner Cartridges</t>
  </si>
  <si>
    <t>Variable</t>
  </si>
  <si>
    <t>Paper Reams (500 sheets)</t>
  </si>
  <si>
    <t>Electricity Usage (kWh)</t>
  </si>
  <si>
    <t>Fixed Costs Total</t>
  </si>
  <si>
    <t>Variable Costs Total</t>
  </si>
  <si>
    <t>Grand Total (5-Yr TCO)</t>
  </si>
  <si>
    <t>Cost Per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</si>
</sst>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9638-4510-4613-A421-604C28DE4F60}">
  <dimension ref="A1:H18"/>
  <sheetViews>
    <sheetView tabSelected="1" workbookViewId="0">
      <selection activeCell="J11" sqref="J11"/>
    </sheetView>
  </sheetViews>
  <sheetFormatPr defaultRowHeight="14.4"/>
  <cols>
    <col min="1" max="1" width="23.109375" bestFit="1" customWidth="1"/>
    <col min="2" max="2" width="19" bestFit="1" customWidth="1"/>
    <col min="3" max="3" width="17.21875" style="2" bestFit="1" customWidth="1"/>
    <col min="4" max="4" width="16.6640625" bestFit="1" customWidth="1"/>
    <col min="5" max="5" width="13.88671875" style="2" bestFit="1" customWidth="1"/>
    <col min="6" max="6" width="13.77734375" style="2" bestFit="1" customWidth="1"/>
    <col min="7" max="7" width="16.6640625" bestFit="1" customWidth="1"/>
    <col min="8" max="8" width="13.88671875" style="2" bestFit="1" customWidth="1"/>
  </cols>
  <sheetData>
    <row r="1" spans="1:8">
      <c r="A1" s="3" t="s">
        <v>7</v>
      </c>
      <c r="B1" s="3">
        <v>5</v>
      </c>
      <c r="C1" s="4" t="s">
        <v>0</v>
      </c>
      <c r="D1" s="3"/>
      <c r="E1" s="4"/>
      <c r="F1" s="4"/>
      <c r="G1" s="3"/>
      <c r="H1" s="4"/>
    </row>
    <row r="2" spans="1:8">
      <c r="A2" t="s">
        <v>8</v>
      </c>
      <c r="B2">
        <v>52</v>
      </c>
      <c r="C2" s="2" t="s">
        <v>1</v>
      </c>
    </row>
    <row r="3" spans="1:8">
      <c r="A3" t="s">
        <v>9</v>
      </c>
      <c r="B3">
        <v>750</v>
      </c>
      <c r="C3" s="2" t="s">
        <v>2</v>
      </c>
    </row>
    <row r="4" spans="1:8">
      <c r="A4" t="s">
        <v>10</v>
      </c>
      <c r="B4">
        <f>B1*B2*B3</f>
        <v>195000</v>
      </c>
      <c r="C4" s="2" t="s">
        <v>15</v>
      </c>
    </row>
    <row r="5" spans="1:8">
      <c r="A5" t="s">
        <v>11</v>
      </c>
      <c r="B5">
        <v>6</v>
      </c>
      <c r="C5" s="2" t="s">
        <v>3</v>
      </c>
    </row>
    <row r="6" spans="1:8">
      <c r="A6" t="s">
        <v>12</v>
      </c>
      <c r="B6" s="1">
        <v>500</v>
      </c>
      <c r="C6" s="2" t="s">
        <v>4</v>
      </c>
    </row>
    <row r="7" spans="1:8">
      <c r="A7" t="s">
        <v>13</v>
      </c>
      <c r="B7" s="1">
        <v>0.3</v>
      </c>
      <c r="C7" s="5" t="s">
        <v>5</v>
      </c>
    </row>
    <row r="8" spans="1:8">
      <c r="A8" t="s">
        <v>14</v>
      </c>
      <c r="B8" s="1">
        <v>40</v>
      </c>
      <c r="C8" s="5" t="s">
        <v>6</v>
      </c>
    </row>
    <row r="10" spans="1:8">
      <c r="A10" s="6" t="s">
        <v>16</v>
      </c>
      <c r="B10" s="6" t="s">
        <v>17</v>
      </c>
      <c r="C10" s="7" t="s">
        <v>18</v>
      </c>
      <c r="D10" s="6" t="s">
        <v>19</v>
      </c>
      <c r="E10" s="7" t="s">
        <v>20</v>
      </c>
      <c r="F10" s="7" t="s">
        <v>21</v>
      </c>
      <c r="G10" s="6" t="s">
        <v>22</v>
      </c>
      <c r="H10" s="7" t="s">
        <v>23</v>
      </c>
    </row>
    <row r="11" spans="1:8">
      <c r="A11" t="s">
        <v>24</v>
      </c>
      <c r="B11" t="s">
        <v>25</v>
      </c>
      <c r="C11" s="2">
        <v>65</v>
      </c>
      <c r="D11">
        <v>1</v>
      </c>
      <c r="E11" s="2">
        <f>C11*D11</f>
        <v>65</v>
      </c>
      <c r="F11" s="2">
        <v>220</v>
      </c>
      <c r="G11">
        <v>1</v>
      </c>
      <c r="H11" s="2">
        <f>F11*G11</f>
        <v>220</v>
      </c>
    </row>
    <row r="12" spans="1:8">
      <c r="A12" t="s">
        <v>26</v>
      </c>
      <c r="B12" t="s">
        <v>27</v>
      </c>
      <c r="C12" s="2">
        <v>25</v>
      </c>
      <c r="D12">
        <f>CEILING($B$4/120, 1)</f>
        <v>1625</v>
      </c>
      <c r="E12" s="2">
        <f>C12*D12</f>
        <v>40625</v>
      </c>
      <c r="F12" s="2">
        <v>80</v>
      </c>
      <c r="G12">
        <f>CEILING($B$4/3000, 1)</f>
        <v>65</v>
      </c>
      <c r="H12" s="2">
        <f>F12*G12</f>
        <v>5200</v>
      </c>
    </row>
    <row r="13" spans="1:8">
      <c r="A13" t="s">
        <v>28</v>
      </c>
      <c r="B13" t="s">
        <v>27</v>
      </c>
      <c r="C13" s="2">
        <f>$B$5</f>
        <v>6</v>
      </c>
      <c r="D13">
        <f>CEILING($B$4/$B$6, 1)</f>
        <v>390</v>
      </c>
      <c r="E13" s="2">
        <f>C13*D13</f>
        <v>2340</v>
      </c>
      <c r="F13" s="2">
        <f>$B$5</f>
        <v>6</v>
      </c>
      <c r="G13">
        <f>CEILING($B$4/$B$6, 1)</f>
        <v>390</v>
      </c>
      <c r="H13" s="2">
        <f>F13*G13</f>
        <v>2340</v>
      </c>
    </row>
    <row r="14" spans="1:8" ht="15" thickBot="1">
      <c r="A14" s="8" t="s">
        <v>29</v>
      </c>
      <c r="B14" s="8" t="s">
        <v>27</v>
      </c>
      <c r="C14" s="9">
        <f>$B$7</f>
        <v>0.3</v>
      </c>
      <c r="D14" s="8">
        <f>ROUND((2.5/1000)*$B$8*$B$1*$B$2, 2)</f>
        <v>26</v>
      </c>
      <c r="E14" s="9">
        <f>C14*D14</f>
        <v>7.8</v>
      </c>
      <c r="F14" s="9">
        <f>$B$7</f>
        <v>0.3</v>
      </c>
      <c r="G14" s="8">
        <f>ROUND((460/1000)*$B$8*$B$1*$B$2, 2)</f>
        <v>4784</v>
      </c>
      <c r="H14" s="2">
        <f>F14*G14</f>
        <v>1435.2</v>
      </c>
    </row>
    <row r="15" spans="1:8" ht="15.6" thickTop="1" thickBot="1">
      <c r="A15" s="1" t="s">
        <v>30</v>
      </c>
      <c r="C15"/>
      <c r="E15">
        <f>SUMIF(B11:B14, "Fixed", E11:E14)</f>
        <v>65</v>
      </c>
      <c r="H15" s="10">
        <f>SUMIF(B11:B14, "Fixed", H11:H14)</f>
        <v>220</v>
      </c>
    </row>
    <row r="16" spans="1:8" ht="15" thickTop="1">
      <c r="A16" t="s">
        <v>31</v>
      </c>
      <c r="C16"/>
      <c r="E16">
        <f>SUMIF(B11:B14, "Variable", E11:E14)</f>
        <v>42972.800000000003</v>
      </c>
      <c r="H16" s="2">
        <f>SUMIF(B11:B14, "Variable", H11:H14)</f>
        <v>8975.2000000000007</v>
      </c>
    </row>
    <row r="17" spans="1:8">
      <c r="A17" t="s">
        <v>32</v>
      </c>
      <c r="C17"/>
      <c r="E17" s="11">
        <f>SUM(E15:E16)</f>
        <v>43037.8</v>
      </c>
      <c r="H17" s="2">
        <f>SUM(H15:H16)</f>
        <v>9195.2000000000007</v>
      </c>
    </row>
    <row r="18" spans="1:8">
      <c r="A18" t="s">
        <v>33</v>
      </c>
      <c r="C18"/>
      <c r="E18" s="2">
        <f>E17/$B$4</f>
        <v>0.22070666666666669</v>
      </c>
      <c r="H18" s="2">
        <f>H17/$B$4</f>
        <v>4.7154871794871801E-2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EDD5E8539A8E409A38DBF94F74A352" ma:contentTypeVersion="4" ma:contentTypeDescription="Create a new document." ma:contentTypeScope="" ma:versionID="49d61e71ec59ccedc3fe65a34d4d7968">
  <xsd:schema xmlns:xsd="http://www.w3.org/2001/XMLSchema" xmlns:xs="http://www.w3.org/2001/XMLSchema" xmlns:p="http://schemas.microsoft.com/office/2006/metadata/properties" xmlns:ns3="3bb02102-75ba-40a1-9ad8-4fdb5f3c2660" targetNamespace="http://schemas.microsoft.com/office/2006/metadata/properties" ma:root="true" ma:fieldsID="8278d7a61e80e8fc0270f7c5e219ff67" ns3:_="">
    <xsd:import namespace="3bb02102-75ba-40a1-9ad8-4fdb5f3c26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02102-75ba-40a1-9ad8-4fdb5f3c26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935339-22F4-4B0F-AE27-10F3CAAFB2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02033-C4C2-4D0A-87A5-C948C14474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b02102-75ba-40a1-9ad8-4fdb5f3c26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D449CB-FD78-4790-B3FE-FE92C2F77941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bb02102-75ba-40a1-9ad8-4fdb5f3c2660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Hilarie John Aguanta Ti In</dc:creator>
  <cp:lastModifiedBy>Hilarie John Aguanta Ti In</cp:lastModifiedBy>
  <dcterms:created xsi:type="dcterms:W3CDTF">2026-09-20T02:36:31Z</dcterms:created>
  <dcterms:modified xsi:type="dcterms:W3CDTF">2026-09-22T14:38:18Z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0x01010089EDD5E8539A8E409A38DBF94F74A352</vt:lpwstr>
  </property>
</Properties>
</file>